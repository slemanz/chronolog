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Print_Titles" localSheetId="0">'BOM'!$7:$7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004AAD"/>
      <sz val="20"/>
    </font>
    <font>
      <name val="Arial"/>
      <charset val="1"/>
      <family val="2"/>
      <b val="1"/>
      <color rgb="FF000000"/>
      <sz val="14"/>
    </font>
    <font>
      <name val="Calibri"/>
      <charset val="1"/>
      <family val="0"/>
      <b val="1"/>
      <color rgb="FF004AAD"/>
      <sz val="12"/>
    </font>
    <font>
      <name val="Calibri"/>
      <charset val="1"/>
      <family val="0"/>
      <b val="1"/>
      <color rgb="FF000000"/>
      <sz val="12"/>
    </font>
    <font>
      <name val="Calibri"/>
      <charset val="1"/>
      <family val="0"/>
      <b val="1"/>
      <color rgb="FF1F2937"/>
      <sz val="12"/>
    </font>
    <font>
      <name val="Arial"/>
      <charset val="1"/>
      <family val="2"/>
      <b val="1"/>
      <color rgb="FFFFFFFF"/>
      <sz val="12"/>
    </font>
    <font>
      <name val="Arial"/>
      <charset val="1"/>
      <family val="2"/>
      <color rgb="FF1F2937"/>
      <sz val="12"/>
    </font>
    <font>
      <name val="Arial"/>
      <charset val="1"/>
      <family val="2"/>
      <b val="1"/>
      <color rgb="FF004AAD"/>
      <sz val="12"/>
    </font>
    <font>
      <name val="Arial"/>
      <charset val="1"/>
      <family val="2"/>
      <color theme="1"/>
      <sz val="11"/>
    </font>
    <font>
      <name val="Arial"/>
      <charset val="1"/>
      <family val="2"/>
      <i val="1"/>
      <color rgb="FF6B7280"/>
      <sz val="10"/>
    </font>
    <font>
      <name val="Arial"/>
      <charset val="1"/>
      <family val="2"/>
      <color rgb="FFC00000"/>
      <sz val="12"/>
    </font>
  </fonts>
  <fills count="5">
    <fill>
      <patternFill/>
    </fill>
    <fill>
      <patternFill patternType="gray125"/>
    </fill>
    <fill>
      <patternFill patternType="solid">
        <fgColor rgb="FF004AAD"/>
        <bgColor rgb="FF003366"/>
      </patternFill>
    </fill>
    <fill>
      <patternFill patternType="solid">
        <fgColor rgb="FFEEF1FC"/>
        <bgColor rgb="FFFFFFFF"/>
      </patternFill>
    </fill>
    <fill>
      <patternFill patternType="solid">
        <fgColor rgb="FFDCE3FA"/>
        <bgColor rgb="FFEEF1FC"/>
      </patternFill>
    </fill>
  </fills>
  <borders count="4">
    <border>
      <left/>
      <right/>
      <top/>
      <bottom/>
      <diagonal/>
    </border>
    <border>
      <left style="thin">
        <color rgb="FFC9D2F0"/>
      </left>
      <right style="thin">
        <color rgb="FFC9D2F0"/>
      </right>
      <top style="thin">
        <color rgb="FF004AAD"/>
      </top>
      <bottom style="medium">
        <color rgb="FF8C9EFF"/>
      </bottom>
      <diagonal/>
    </border>
    <border>
      <left style="thin">
        <color rgb="FFC9D2F0"/>
      </left>
      <right style="thin">
        <color rgb="FFC9D2F0"/>
      </right>
      <top style="thin">
        <color rgb="FFC9D2F0"/>
      </top>
      <bottom style="thin">
        <color rgb="FFC9D2F0"/>
      </bottom>
      <diagonal/>
    </border>
    <border>
      <left style="thin">
        <color rgb="FFC9D2F0"/>
      </left>
      <right style="thin">
        <color rgb="FFC9D2F0"/>
      </right>
      <top style="medium">
        <color rgb="FF004AAD"/>
      </top>
      <bottom style="thin">
        <color rgb="FFC9D2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 indent="1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indent="1"/>
    </xf>
    <xf numFmtId="164" fontId="10" fillId="0" borderId="2" applyAlignment="1" pivotButton="0" quotePrefix="0" xfId="0">
      <alignment horizontal="right" vertical="center" indent="1"/>
    </xf>
    <xf numFmtId="0" fontId="10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 wrapText="1" indent="1"/>
    </xf>
    <xf numFmtId="0" fontId="10" fillId="3" borderId="2" applyAlignment="1" pivotButton="0" quotePrefix="0" xfId="0">
      <alignment horizontal="left" vertical="center" indent="1"/>
    </xf>
    <xf numFmtId="164" fontId="10" fillId="3" borderId="2" applyAlignment="1" pivotButton="0" quotePrefix="0" xfId="0">
      <alignment horizontal="right" vertical="center" indent="1"/>
    </xf>
    <xf numFmtId="0" fontId="11" fillId="4" borderId="3" applyAlignment="1" pivotButton="0" quotePrefix="0" xfId="0">
      <alignment horizontal="center" vertical="center"/>
    </xf>
    <xf numFmtId="0" fontId="11" fillId="4" borderId="3" applyAlignment="1" pivotButton="0" quotePrefix="0" xfId="0">
      <alignment horizontal="left" vertical="center" indent="1"/>
    </xf>
    <xf numFmtId="164" fontId="11" fillId="4" borderId="3" applyAlignment="1" pivotButton="0" quotePrefix="0" xfId="0">
      <alignment horizontal="right" vertical="center" inden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 indent="1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indent="1"/>
    </xf>
    <xf numFmtId="164" fontId="10" fillId="0" borderId="2" applyAlignment="1" pivotButton="0" quotePrefix="0" xfId="0">
      <alignment horizontal="right" vertical="center" indent="1"/>
    </xf>
    <xf numFmtId="0" fontId="10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 wrapText="1" indent="1"/>
    </xf>
    <xf numFmtId="0" fontId="10" fillId="3" borderId="2" applyAlignment="1" pivotButton="0" quotePrefix="0" xfId="0">
      <alignment horizontal="left" vertical="center" indent="1"/>
    </xf>
    <xf numFmtId="164" fontId="10" fillId="3" borderId="2" applyAlignment="1" pivotButton="0" quotePrefix="0" xfId="0">
      <alignment horizontal="right" vertical="center" indent="1"/>
    </xf>
    <xf numFmtId="0" fontId="11" fillId="4" borderId="3" applyAlignment="1" pivotButton="0" quotePrefix="0" xfId="0">
      <alignment horizontal="center" vertical="center"/>
    </xf>
    <xf numFmtId="0" fontId="11" fillId="4" borderId="3" applyAlignment="1" pivotButton="0" quotePrefix="0" xfId="0">
      <alignment horizontal="left" vertical="center" indent="1"/>
    </xf>
    <xf numFmtId="164" fontId="11" fillId="4" borderId="3" applyAlignment="1" pivotButton="0" quotePrefix="0" xfId="0">
      <alignment horizontal="right" vertical="center" inden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left" vertical="center" wrapText="1" indent="1"/>
    </xf>
    <xf numFmtId="0" fontId="14" fillId="3" borderId="2" applyAlignment="1" pivotButton="0" quotePrefix="0" xfId="0">
      <alignment horizontal="left" vertical="center" indent="1"/>
    </xf>
    <xf numFmtId="164" fontId="14" fillId="3" borderId="2" applyAlignment="1" pivotButton="0" quotePrefix="0" xfId="0">
      <alignment horizontal="righ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C9EFF"/>
      <rgbColor rgb="FF993366"/>
      <rgbColor rgb="FFEEF1FC"/>
      <rgbColor rgb="FFDCE3FA"/>
      <rgbColor rgb="FF660066"/>
      <rgbColor rgb="FFFF8080"/>
      <rgbColor rgb="FF004AAD"/>
      <rgbColor rgb="FFC9D2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1228320</colOff>
      <row>1</row>
      <rowOff>218880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80760" cy="495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5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G16" activeCellId="0" sqref="G16"/>
    </sheetView>
  </sheetViews>
  <sheetFormatPr baseColWidth="8" defaultColWidth="8.6796875" defaultRowHeight="15" customHeight="0" zeroHeight="0" outlineLevelRow="0"/>
  <cols>
    <col width="5" customWidth="1" style="24" min="1" max="1"/>
    <col width="24" customWidth="1" style="24" min="2" max="2"/>
    <col width="6" customWidth="1" style="24" min="3" max="3"/>
    <col width="76" customWidth="1" style="24" min="4" max="4"/>
    <col width="31" customWidth="1" style="24" min="5" max="5"/>
    <col width="15" customWidth="1" style="24" min="6" max="6"/>
    <col width="21" customWidth="1" style="24" min="7" max="7"/>
    <col width="13" customWidth="1" style="24" min="8" max="8"/>
    <col width="13" customWidth="1" style="25" min="9" max="9"/>
  </cols>
  <sheetData>
    <row r="1" ht="21.75" customHeight="1" s="25">
      <c r="E1" s="26" t="inlineStr">
        <is>
          <t>BILL OF MATERIALS</t>
        </is>
      </c>
    </row>
    <row r="2" ht="26.85" customHeight="1" s="25">
      <c r="E2" s="27" t="inlineStr">
        <is>
          <t xml:space="preserve">PCB Chronolog </t>
        </is>
      </c>
    </row>
    <row r="3" ht="3.75" customHeight="1" s="25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</row>
    <row r="4" ht="19.5" customHeight="1" s="25">
      <c r="A4" s="29" t="inlineStr">
        <is>
          <t>Designed by:</t>
        </is>
      </c>
      <c r="C4" s="30" t="inlineStr">
        <is>
          <t>William Sleman</t>
        </is>
      </c>
      <c r="E4" s="29" t="inlineStr">
        <is>
          <t>Revision:</t>
        </is>
      </c>
      <c r="F4" s="31" t="inlineStr">
        <is>
          <t>A</t>
        </is>
      </c>
    </row>
    <row r="5" ht="19.5" customHeight="1" s="25">
      <c r="A5" s="29" t="inlineStr">
        <is>
          <t>Report Date:</t>
        </is>
      </c>
      <c r="C5" s="31" t="inlineStr">
        <is>
          <t>10-OCT-2026</t>
        </is>
      </c>
      <c r="E5" s="29" t="inlineStr">
        <is>
          <t>Total parts:</t>
        </is>
      </c>
      <c r="F5" s="31" t="inlineStr">
        <is>
          <t>90</t>
        </is>
      </c>
    </row>
    <row r="6" ht="7.5" customHeight="1" s="25"/>
    <row r="7" ht="25.5" customHeight="1" s="25">
      <c r="A7" s="32" t="inlineStr">
        <is>
          <t>#</t>
        </is>
      </c>
      <c r="B7" s="33" t="inlineStr">
        <is>
          <t>Reference</t>
        </is>
      </c>
      <c r="C7" s="32" t="inlineStr">
        <is>
          <t>Qty</t>
        </is>
      </c>
      <c r="D7" s="33" t="inlineStr">
        <is>
          <t>Description</t>
        </is>
      </c>
      <c r="E7" s="33" t="inlineStr">
        <is>
          <t>MPN</t>
        </is>
      </c>
      <c r="F7" s="32" t="inlineStr">
        <is>
          <t>LCSC</t>
        </is>
      </c>
      <c r="G7" s="33" t="inlineStr">
        <is>
          <t>Package</t>
        </is>
      </c>
      <c r="H7" s="34" t="inlineStr">
        <is>
          <t>Unit Price</t>
        </is>
      </c>
      <c r="I7" s="34" t="inlineStr">
        <is>
          <t>Total</t>
        </is>
      </c>
    </row>
    <row r="8" ht="26" customHeight="1" s="25">
      <c r="A8" s="35" t="n">
        <v>1</v>
      </c>
      <c r="B8" s="36" t="inlineStr">
        <is>
          <t>BT1</t>
        </is>
      </c>
      <c r="C8" s="35" t="n">
        <v>1</v>
      </c>
      <c r="D8" s="36" t="inlineStr">
        <is>
          <t>BATTERY HOLDER COIN CR2032 SMD</t>
        </is>
      </c>
      <c r="E8" s="37" t="inlineStr">
        <is>
          <t>BS-08-B2AA001</t>
        </is>
      </c>
      <c r="F8" s="35" t="inlineStr">
        <is>
          <t>C964777</t>
        </is>
      </c>
      <c r="G8" s="37" t="inlineStr">
        <is>
          <t>SMD</t>
        </is>
      </c>
      <c r="H8" s="38" t="n"/>
      <c r="I8" s="38">
        <f>IF(H8="","",C8*H8)</f>
        <v/>
      </c>
    </row>
    <row r="9" ht="26" customHeight="1" s="25">
      <c r="A9" s="39" t="n">
        <v>2</v>
      </c>
      <c r="B9" s="40" t="inlineStr">
        <is>
          <t>C1</t>
        </is>
      </c>
      <c r="C9" s="39" t="n">
        <v>1</v>
      </c>
      <c r="D9" s="40" t="inlineStr">
        <is>
          <t>CAP ALUM 47uF 20% 35V SMD</t>
        </is>
      </c>
      <c r="E9" s="41" t="inlineStr">
        <is>
          <t>VZT470M1HTT-0606L</t>
        </is>
      </c>
      <c r="F9" s="39" t="inlineStr">
        <is>
          <t>C46682638</t>
        </is>
      </c>
      <c r="G9" s="41" t="inlineStr">
        <is>
          <t>D6.3x5.8</t>
        </is>
      </c>
      <c r="H9" s="42" t="n"/>
      <c r="I9" s="42">
        <f>IF(H9="","",C9*H9)</f>
        <v/>
      </c>
    </row>
    <row r="10" ht="26" customHeight="1" s="25">
      <c r="A10" s="35" t="n">
        <v>3</v>
      </c>
      <c r="B10" s="36" t="inlineStr">
        <is>
          <t>C2</t>
        </is>
      </c>
      <c r="C10" s="35" t="n">
        <v>1</v>
      </c>
      <c r="D10" s="36" t="inlineStr">
        <is>
          <t>CAP CER 10uF 50V X7R 1210</t>
        </is>
      </c>
      <c r="E10" s="37" t="inlineStr">
        <is>
          <t>GRM32ER71H106KA12L</t>
        </is>
      </c>
      <c r="F10" s="35" t="inlineStr">
        <is>
          <t>C77102</t>
        </is>
      </c>
      <c r="G10" s="37" t="inlineStr">
        <is>
          <t>1210</t>
        </is>
      </c>
      <c r="H10" s="38" t="n"/>
      <c r="I10" s="38">
        <f>IF(H10="","",C10*H10)</f>
        <v/>
      </c>
    </row>
    <row r="11" ht="82" customHeight="1" s="25">
      <c r="A11" s="39" t="n">
        <v>4</v>
      </c>
      <c r="B11" s="40" t="inlineStr">
        <is>
          <t>C3, C4, C7, C8, C9, C10, C14, C15, C17, C18, C20, C23, C24, C25, C26, C27, C28, C30, C31</t>
        </is>
      </c>
      <c r="C11" s="39" t="n">
        <v>19</v>
      </c>
      <c r="D11" s="40" t="inlineStr">
        <is>
          <t>CAP CER 100nF 50V X7R 0603</t>
        </is>
      </c>
      <c r="E11" s="41" t="inlineStr">
        <is>
          <t>CC0603KRX7R9BB104</t>
        </is>
      </c>
      <c r="F11" s="39" t="inlineStr">
        <is>
          <t>C14663</t>
        </is>
      </c>
      <c r="G11" s="41" t="inlineStr">
        <is>
          <t>0603</t>
        </is>
      </c>
      <c r="H11" s="42" t="n"/>
      <c r="I11" s="42">
        <f>IF(H11="","",C11*H11)</f>
        <v/>
      </c>
    </row>
    <row r="12" ht="26" customHeight="1" s="25">
      <c r="A12" s="35" t="n">
        <v>5</v>
      </c>
      <c r="B12" s="36" t="inlineStr">
        <is>
          <t>C5, C6</t>
        </is>
      </c>
      <c r="C12" s="35" t="n">
        <v>2</v>
      </c>
      <c r="D12" s="36" t="inlineStr">
        <is>
          <t>CAP CER 22uF 25V X7R 1210</t>
        </is>
      </c>
      <c r="E12" s="37" t="inlineStr">
        <is>
          <t>CL32B226KAJNNNE</t>
        </is>
      </c>
      <c r="F12" s="35" t="inlineStr">
        <is>
          <t>C309062</t>
        </is>
      </c>
      <c r="G12" s="37" t="inlineStr">
        <is>
          <t>1210</t>
        </is>
      </c>
      <c r="H12" s="38" t="n"/>
      <c r="I12" s="38">
        <f>IF(H12="","",C12*H12)</f>
        <v/>
      </c>
    </row>
    <row r="13" ht="26" customHeight="1" s="25">
      <c r="A13" s="39" t="n">
        <v>6</v>
      </c>
      <c r="B13" s="40" t="inlineStr">
        <is>
          <t>C11</t>
        </is>
      </c>
      <c r="C13" s="39" t="n">
        <v>1</v>
      </c>
      <c r="D13" s="40" t="inlineStr">
        <is>
          <t>CAP CER 4.7uF 16V X5R 0603</t>
        </is>
      </c>
      <c r="E13" s="41" t="inlineStr">
        <is>
          <t>GRM188R61C475KE11D</t>
        </is>
      </c>
      <c r="F13" s="39" t="inlineStr">
        <is>
          <t>C77045</t>
        </is>
      </c>
      <c r="G13" s="41" t="inlineStr">
        <is>
          <t>0603</t>
        </is>
      </c>
      <c r="H13" s="42" t="n"/>
      <c r="I13" s="42">
        <f>IF(H13="","",C13*H13)</f>
        <v/>
      </c>
    </row>
    <row r="14" ht="26" customHeight="1" s="25">
      <c r="A14" s="35" t="n">
        <v>7</v>
      </c>
      <c r="B14" s="36" t="inlineStr">
        <is>
          <t>C12</t>
        </is>
      </c>
      <c r="C14" s="35" t="n">
        <v>1</v>
      </c>
      <c r="D14" s="36" t="inlineStr">
        <is>
          <t>CAP CER 1uF 25V X7R 0603</t>
        </is>
      </c>
      <c r="E14" s="37" t="inlineStr">
        <is>
          <t>GCM188R71E105KA64D</t>
        </is>
      </c>
      <c r="F14" s="35" t="inlineStr">
        <is>
          <t>C85862</t>
        </is>
      </c>
      <c r="G14" s="37" t="inlineStr">
        <is>
          <t>0603</t>
        </is>
      </c>
      <c r="H14" s="38" t="n"/>
      <c r="I14" s="38">
        <f>IF(H14="","",C14*H14)</f>
        <v/>
      </c>
    </row>
    <row r="15" ht="26" customHeight="1" s="25">
      <c r="A15" s="39" t="n">
        <v>8</v>
      </c>
      <c r="B15" s="40" t="inlineStr">
        <is>
          <t>C13</t>
        </is>
      </c>
      <c r="C15" s="39" t="n">
        <v>1</v>
      </c>
      <c r="D15" s="40" t="inlineStr">
        <is>
          <t>CAP CER 1nF 50V X7R 0603</t>
        </is>
      </c>
      <c r="E15" s="41" t="inlineStr">
        <is>
          <t>0603B103K500NT</t>
        </is>
      </c>
      <c r="F15" s="39" t="inlineStr">
        <is>
          <t>C57112</t>
        </is>
      </c>
      <c r="G15" s="41" t="inlineStr">
        <is>
          <t>0603</t>
        </is>
      </c>
      <c r="H15" s="42" t="n"/>
      <c r="I15" s="42">
        <f>IF(H15="","",C15*H15)</f>
        <v/>
      </c>
    </row>
    <row r="16" ht="26" customHeight="1" s="25">
      <c r="A16" s="35" t="n">
        <v>9</v>
      </c>
      <c r="B16" s="36" t="inlineStr">
        <is>
          <t>C16, C29</t>
        </is>
      </c>
      <c r="C16" s="35" t="n">
        <v>2</v>
      </c>
      <c r="D16" s="36" t="inlineStr">
        <is>
          <t>CAP CER 10uF 16V X5R 0805</t>
        </is>
      </c>
      <c r="E16" s="37" t="inlineStr">
        <is>
          <t>GRM21BR61C106KE15L</t>
        </is>
      </c>
      <c r="F16" s="35" t="inlineStr">
        <is>
          <t>C77075</t>
        </is>
      </c>
      <c r="G16" s="37" t="inlineStr">
        <is>
          <t>0805</t>
        </is>
      </c>
      <c r="H16" s="38" t="n"/>
      <c r="I16" s="38">
        <f>IF(H16="","",C16*H16)</f>
        <v/>
      </c>
    </row>
    <row r="17" ht="26" customHeight="1" s="25">
      <c r="A17" s="39" t="n">
        <v>10</v>
      </c>
      <c r="B17" s="40" t="inlineStr">
        <is>
          <t>C19</t>
        </is>
      </c>
      <c r="C17" s="39" t="n">
        <v>1</v>
      </c>
      <c r="D17" s="40" t="inlineStr">
        <is>
          <t>CAP CER 22uF 10V X5R 0805</t>
        </is>
      </c>
      <c r="E17" s="41" t="inlineStr">
        <is>
          <t>GRM21BR61A226ME51L</t>
        </is>
      </c>
      <c r="F17" s="39" t="inlineStr">
        <is>
          <t>C77074</t>
        </is>
      </c>
      <c r="G17" s="41" t="inlineStr">
        <is>
          <t>0805</t>
        </is>
      </c>
      <c r="H17" s="42" t="n"/>
      <c r="I17" s="42">
        <f>IF(H17="","",C17*H17)</f>
        <v/>
      </c>
    </row>
    <row r="18" ht="26" customHeight="1" s="25">
      <c r="A18" s="35" t="n">
        <v>11</v>
      </c>
      <c r="B18" s="36" t="inlineStr">
        <is>
          <t>C21, C22</t>
        </is>
      </c>
      <c r="C18" s="35" t="n">
        <v>2</v>
      </c>
      <c r="D18" s="36" t="inlineStr">
        <is>
          <t>CAP CER 18pF 50V C0G 0603</t>
        </is>
      </c>
      <c r="E18" s="37" t="inlineStr">
        <is>
          <t>CL10C180JB8NNNC</t>
        </is>
      </c>
      <c r="F18" s="35" t="inlineStr">
        <is>
          <t>C1647</t>
        </is>
      </c>
      <c r="G18" s="37" t="inlineStr">
        <is>
          <t>0603</t>
        </is>
      </c>
      <c r="H18" s="38" t="n"/>
      <c r="I18" s="38">
        <f>IF(H18="","",C18*H18)</f>
        <v/>
      </c>
    </row>
    <row r="19" ht="26" customHeight="1" s="25">
      <c r="A19" s="39" t="n">
        <v>12</v>
      </c>
      <c r="B19" s="40" t="inlineStr">
        <is>
          <t>D1</t>
        </is>
      </c>
      <c r="C19" s="39" t="n">
        <v>1</v>
      </c>
      <c r="D19" s="40" t="inlineStr">
        <is>
          <t>DIODE SCHOTTKY 40V 3A SMA</t>
        </is>
      </c>
      <c r="E19" s="41" t="inlineStr">
        <is>
          <t>B340AE-13</t>
        </is>
      </c>
      <c r="F19" s="39" t="inlineStr">
        <is>
          <t>C168859</t>
        </is>
      </c>
      <c r="G19" s="41" t="inlineStr">
        <is>
          <t>SMA(DO-214AC)</t>
        </is>
      </c>
      <c r="H19" s="42" t="n"/>
      <c r="I19" s="42">
        <f>IF(H19="","",C19*H19)</f>
        <v/>
      </c>
    </row>
    <row r="20" ht="26" customHeight="1" s="25">
      <c r="A20" s="35" t="n">
        <v>13</v>
      </c>
      <c r="B20" s="36" t="inlineStr">
        <is>
          <t>D2</t>
        </is>
      </c>
      <c r="C20" s="35" t="n">
        <v>1</v>
      </c>
      <c r="D20" s="36" t="inlineStr">
        <is>
          <t>TVS DIODE 33VWM 53.3VC DO214AC</t>
        </is>
      </c>
      <c r="E20" s="37" t="inlineStr">
        <is>
          <t>SMAJ33A</t>
        </is>
      </c>
      <c r="F20" s="35" t="inlineStr">
        <is>
          <t>C223988</t>
        </is>
      </c>
      <c r="G20" s="37" t="inlineStr">
        <is>
          <t>SMA(DO-214AC)</t>
        </is>
      </c>
      <c r="H20" s="38" t="n"/>
      <c r="I20" s="38">
        <f>IF(H20="","",C20*H20)</f>
        <v/>
      </c>
    </row>
    <row r="21" ht="26" customHeight="1" s="25">
      <c r="A21" s="39" t="n">
        <v>14</v>
      </c>
      <c r="B21" s="40" t="inlineStr">
        <is>
          <t>D3, D4</t>
        </is>
      </c>
      <c r="C21" s="39" t="n">
        <v>2</v>
      </c>
      <c r="D21" s="40" t="inlineStr">
        <is>
          <t>LED RED 620-630nm 2V 20mA 0603</t>
        </is>
      </c>
      <c r="E21" s="41" t="inlineStr">
        <is>
          <t>KT-0603R</t>
        </is>
      </c>
      <c r="F21" s="39" t="inlineStr">
        <is>
          <t>C2286</t>
        </is>
      </c>
      <c r="G21" s="41" t="inlineStr">
        <is>
          <t>0603</t>
        </is>
      </c>
      <c r="H21" s="42" t="n"/>
      <c r="I21" s="42">
        <f>IF(H21="","",C21*H21)</f>
        <v/>
      </c>
    </row>
    <row r="22" ht="26" customHeight="1" s="25">
      <c r="A22" s="35" t="n">
        <v>15</v>
      </c>
      <c r="B22" s="36" t="inlineStr">
        <is>
          <t>D5</t>
        </is>
      </c>
      <c r="C22" s="35" t="n">
        <v>1</v>
      </c>
      <c r="D22" s="36" t="inlineStr">
        <is>
          <t>TOP LED 5050 RGB SMD</t>
        </is>
      </c>
      <c r="E22" s="37" t="inlineStr">
        <is>
          <t>XL-5050RGBC</t>
        </is>
      </c>
      <c r="F22" s="35" t="inlineStr">
        <is>
          <t>C2843868</t>
        </is>
      </c>
      <c r="G22" s="37" t="inlineStr">
        <is>
          <t>PLCC-6</t>
        </is>
      </c>
      <c r="H22" s="38" t="n"/>
      <c r="I22" s="38">
        <f>IF(H22="","",C22*H22)</f>
        <v/>
      </c>
    </row>
    <row r="23" ht="26" customHeight="1" s="25">
      <c r="A23" s="39" t="n">
        <v>16</v>
      </c>
      <c r="B23" s="40" t="inlineStr">
        <is>
          <t>D6</t>
        </is>
      </c>
      <c r="C23" s="39" t="n">
        <v>1</v>
      </c>
      <c r="D23" s="40" t="inlineStr">
        <is>
          <t>DIODE SCHOTTKY 40V SOD-123</t>
        </is>
      </c>
      <c r="E23" s="41" t="inlineStr">
        <is>
          <t>B5819W-TP</t>
        </is>
      </c>
      <c r="F23" s="39" t="inlineStr">
        <is>
          <t>C84354</t>
        </is>
      </c>
      <c r="G23" s="41" t="inlineStr">
        <is>
          <t>SOD-123</t>
        </is>
      </c>
      <c r="H23" s="42" t="n"/>
      <c r="I23" s="42">
        <f>IF(H23="","",C23*H23)</f>
        <v/>
      </c>
    </row>
    <row r="24" ht="26" customHeight="1" s="25">
      <c r="A24" s="35" t="n">
        <v>17</v>
      </c>
      <c r="B24" s="36" t="inlineStr">
        <is>
          <t>D7</t>
        </is>
      </c>
      <c r="C24" s="35" t="n">
        <v>1</v>
      </c>
      <c r="D24" s="36" t="inlineStr">
        <is>
          <t>DIODE ARR SCHOTT 30V 200MA SOT23</t>
        </is>
      </c>
      <c r="E24" s="37" t="inlineStr">
        <is>
          <t>BAT54C</t>
        </is>
      </c>
      <c r="F24" s="35" t="inlineStr">
        <is>
          <t>C2135</t>
        </is>
      </c>
      <c r="G24" s="37" t="inlineStr">
        <is>
          <t>SOT-23</t>
        </is>
      </c>
      <c r="H24" s="38" t="n"/>
      <c r="I24" s="38">
        <f>IF(H24="","",C24*H24)</f>
        <v/>
      </c>
    </row>
    <row r="25" ht="26" customHeight="1" s="25">
      <c r="A25" s="39" t="n">
        <v>18</v>
      </c>
      <c r="B25" s="40" t="inlineStr">
        <is>
          <t>J1</t>
        </is>
      </c>
      <c r="C25" s="39" t="n">
        <v>1</v>
      </c>
      <c r="D25" s="40" t="inlineStr">
        <is>
          <t>CONN PWR JACK TH R/A</t>
        </is>
      </c>
      <c r="E25" s="41" t="inlineStr">
        <is>
          <t>DC-005-5A-2.0</t>
        </is>
      </c>
      <c r="F25" s="39" t="inlineStr">
        <is>
          <t>C381116</t>
        </is>
      </c>
      <c r="G25" s="41" t="inlineStr">
        <is>
          <t>TH</t>
        </is>
      </c>
      <c r="H25" s="42" t="n"/>
      <c r="I25" s="42">
        <f>IF(H25="","",C25*H25)</f>
        <v/>
      </c>
    </row>
    <row r="26" ht="26" customHeight="1" s="25">
      <c r="A26" s="35" t="n">
        <v>19</v>
      </c>
      <c r="B26" s="36" t="inlineStr">
        <is>
          <t>J2</t>
        </is>
      </c>
      <c r="C26" s="35" t="n">
        <v>1</v>
      </c>
      <c r="D26" s="36" t="inlineStr">
        <is>
          <t>CONN HEADER JST XH 4POS 2.50mm TH</t>
        </is>
      </c>
      <c r="E26" s="37" t="inlineStr">
        <is>
          <t>B4B-XH-A(LF)(SN)</t>
        </is>
      </c>
      <c r="F26" s="35" t="inlineStr">
        <is>
          <t>C144395</t>
        </is>
      </c>
      <c r="G26" s="37" t="inlineStr">
        <is>
          <t>TH</t>
        </is>
      </c>
      <c r="H26" s="38" t="n"/>
      <c r="I26" s="38">
        <f>IF(H26="","",C26*H26)</f>
        <v/>
      </c>
    </row>
    <row r="27" ht="26" customHeight="1" s="25">
      <c r="A27" s="39" t="n">
        <v>20</v>
      </c>
      <c r="B27" s="40" t="inlineStr">
        <is>
          <t>J3</t>
        </is>
      </c>
      <c r="C27" s="39" t="n">
        <v>1</v>
      </c>
      <c r="D27" s="40" t="inlineStr">
        <is>
          <t>CONN HEADER MALE VERT 4POS 2.54MM</t>
        </is>
      </c>
      <c r="E27" s="41" t="inlineStr">
        <is>
          <t>B-2100S04P-A110</t>
        </is>
      </c>
      <c r="F27" s="39" t="inlineStr">
        <is>
          <t>C124378</t>
        </is>
      </c>
      <c r="G27" s="41" t="inlineStr">
        <is>
          <t>TH</t>
        </is>
      </c>
      <c r="H27" s="42" t="n"/>
      <c r="I27" s="42">
        <f>IF(H27="","",C27*H27)</f>
        <v/>
      </c>
    </row>
    <row r="28" ht="26" customHeight="1" s="25">
      <c r="A28" s="35" t="n">
        <v>21</v>
      </c>
      <c r="B28" s="36" t="inlineStr">
        <is>
          <t>J4</t>
        </is>
      </c>
      <c r="C28" s="35" t="n">
        <v>1</v>
      </c>
      <c r="D28" s="36" t="inlineStr">
        <is>
          <t>CONN RCPT USB MICRO-B 5POS SMD</t>
        </is>
      </c>
      <c r="E28" s="37" t="inlineStr">
        <is>
          <t>U254-051N-4BH806</t>
        </is>
      </c>
      <c r="F28" s="35" t="inlineStr">
        <is>
          <t>C319170</t>
        </is>
      </c>
      <c r="G28" s="37" t="inlineStr">
        <is>
          <t>SMD</t>
        </is>
      </c>
      <c r="H28" s="38" t="n"/>
      <c r="I28" s="38">
        <f>IF(H28="","",C28*H28)</f>
        <v/>
      </c>
    </row>
    <row r="29" ht="26" customHeight="1" s="25">
      <c r="A29" s="39" t="n">
        <v>22</v>
      </c>
      <c r="B29" s="40" t="inlineStr">
        <is>
          <t>J5</t>
        </is>
      </c>
      <c r="C29" s="39" t="n">
        <v>1</v>
      </c>
      <c r="D29" s="40" t="inlineStr">
        <is>
          <t>CONN SOCKET 8POS 2.54mm DUAL ROW TH</t>
        </is>
      </c>
      <c r="E29" s="41" t="inlineStr">
        <is>
          <t>PM254-2-04-Z-8.5</t>
        </is>
      </c>
      <c r="F29" s="39" t="inlineStr">
        <is>
          <t>C2897405</t>
        </is>
      </c>
      <c r="G29" s="41" t="inlineStr">
        <is>
          <t>TH</t>
        </is>
      </c>
      <c r="H29" s="42" t="n"/>
      <c r="I29" s="42">
        <f>IF(H29="","",C29*H29)</f>
        <v/>
      </c>
    </row>
    <row r="30" ht="26" customHeight="1" s="25">
      <c r="A30" s="35" t="n">
        <v>23</v>
      </c>
      <c r="B30" s="36" t="inlineStr">
        <is>
          <t>J6</t>
        </is>
      </c>
      <c r="C30" s="35" t="n">
        <v>1</v>
      </c>
      <c r="D30" s="36" t="inlineStr">
        <is>
          <t>CONN SOCKET 16POS 2.54mm SINGLE ROW TH</t>
        </is>
      </c>
      <c r="E30" s="37" t="inlineStr">
        <is>
          <t>KH-2.54FH-1X16P-H8.5</t>
        </is>
      </c>
      <c r="F30" s="35" t="inlineStr">
        <is>
          <t>C2905421</t>
        </is>
      </c>
      <c r="G30" s="37" t="inlineStr">
        <is>
          <t>TH</t>
        </is>
      </c>
      <c r="H30" s="38" t="n"/>
      <c r="I30" s="38">
        <f>IF(H30="","",C30*H30)</f>
        <v/>
      </c>
    </row>
    <row r="31" ht="26" customHeight="1" s="25">
      <c r="A31" s="39" t="n">
        <v>24</v>
      </c>
      <c r="B31" s="40" t="inlineStr">
        <is>
          <t>L1</t>
        </is>
      </c>
      <c r="C31" s="39" t="n">
        <v>1</v>
      </c>
      <c r="D31" s="40" t="inlineStr">
        <is>
          <t>FIXED IND 4.7uH 1.5A ISAT 2.1A 190mΩ 1008</t>
        </is>
      </c>
      <c r="E31" s="41" t="inlineStr">
        <is>
          <t>DFE252012F-4R7M=P2</t>
        </is>
      </c>
      <c r="F31" s="39" t="inlineStr">
        <is>
          <t>C668313</t>
        </is>
      </c>
      <c r="G31" s="41" t="inlineStr">
        <is>
          <t>1008</t>
        </is>
      </c>
      <c r="H31" s="42" t="n"/>
      <c r="I31" s="42">
        <f>IF(H31="","",C31*H31)</f>
        <v/>
      </c>
    </row>
    <row r="32" ht="26" customHeight="1" s="25">
      <c r="A32" s="35" t="n">
        <v>25</v>
      </c>
      <c r="B32" s="36" t="inlineStr">
        <is>
          <t>P1</t>
        </is>
      </c>
      <c r="C32" s="35" t="n">
        <v>1</v>
      </c>
      <c r="D32" s="36" t="inlineStr">
        <is>
          <t>CONN HEADER MALE VERT 16POS 2.54MM</t>
        </is>
      </c>
      <c r="E32" s="37" t="inlineStr">
        <is>
          <t>B-2100S16P-A110</t>
        </is>
      </c>
      <c r="F32" s="35" t="inlineStr">
        <is>
          <t>C49423290</t>
        </is>
      </c>
      <c r="G32" s="37" t="inlineStr">
        <is>
          <t>TH</t>
        </is>
      </c>
      <c r="H32" s="38" t="n"/>
      <c r="I32" s="38">
        <f>IF(H32="","",C32*H32)</f>
        <v/>
      </c>
    </row>
    <row r="33" ht="26" customHeight="1" s="25">
      <c r="A33" s="39" t="n">
        <v>26</v>
      </c>
      <c r="B33" s="40" t="inlineStr">
        <is>
          <t>Q1, Q2</t>
        </is>
      </c>
      <c r="C33" s="39" t="n">
        <v>2</v>
      </c>
      <c r="D33" s="40" t="inlineStr">
        <is>
          <t>MOSFET N-CH 50V 220mA 3.5R SOT-23</t>
        </is>
      </c>
      <c r="E33" s="41" t="inlineStr">
        <is>
          <t>BSS138</t>
        </is>
      </c>
      <c r="F33" s="39" t="inlineStr">
        <is>
          <t>C52895</t>
        </is>
      </c>
      <c r="G33" s="41" t="inlineStr">
        <is>
          <t>SOT-23</t>
        </is>
      </c>
      <c r="H33" s="42" t="n"/>
      <c r="I33" s="42">
        <f>IF(H33="","",C33*H33)</f>
        <v/>
      </c>
    </row>
    <row r="34" ht="26" customHeight="1" s="25">
      <c r="A34" s="35" t="n">
        <v>27</v>
      </c>
      <c r="B34" s="36" t="inlineStr">
        <is>
          <t>Q3</t>
        </is>
      </c>
      <c r="C34" s="35" t="n">
        <v>1</v>
      </c>
      <c r="D34" s="36" t="inlineStr">
        <is>
          <t>TRANS NPN 45V 500mA SOT-23</t>
        </is>
      </c>
      <c r="E34" s="37" t="inlineStr">
        <is>
          <t>BC817-40LT1G</t>
        </is>
      </c>
      <c r="F34" s="35" t="inlineStr">
        <is>
          <t>C94412</t>
        </is>
      </c>
      <c r="G34" s="37" t="inlineStr">
        <is>
          <t>SOT-23</t>
        </is>
      </c>
      <c r="H34" s="38" t="n"/>
      <c r="I34" s="38">
        <f>IF(H34="","",C34*H34)</f>
        <v/>
      </c>
    </row>
    <row r="35" ht="54" customHeight="1" s="25">
      <c r="A35" s="39" t="n">
        <v>28</v>
      </c>
      <c r="B35" s="40" t="inlineStr">
        <is>
          <t>R1, R2, R12, R13, R14, R15, R18, R19, R20, R21</t>
        </is>
      </c>
      <c r="C35" s="39" t="n">
        <v>10</v>
      </c>
      <c r="D35" s="40" t="inlineStr">
        <is>
          <t>RES 10kΩ ±1% 100mW 0603</t>
        </is>
      </c>
      <c r="E35" s="41" t="inlineStr">
        <is>
          <t>0603WAF1002T5E</t>
        </is>
      </c>
      <c r="F35" s="39" t="inlineStr">
        <is>
          <t>C25804</t>
        </is>
      </c>
      <c r="G35" s="41" t="inlineStr">
        <is>
          <t>0603</t>
        </is>
      </c>
      <c r="H35" s="42" t="n"/>
      <c r="I35" s="42">
        <f>IF(H35="","",C35*H35)</f>
        <v/>
      </c>
    </row>
    <row r="36" ht="26" customHeight="1" s="25">
      <c r="A36" s="35" t="n">
        <v>29</v>
      </c>
      <c r="B36" s="36" t="inlineStr">
        <is>
          <t>R3</t>
        </is>
      </c>
      <c r="C36" s="35" t="n">
        <v>1</v>
      </c>
      <c r="D36" s="36" t="inlineStr">
        <is>
          <t>RES 0Ω 100mW 0603</t>
        </is>
      </c>
      <c r="E36" s="37" t="inlineStr">
        <is>
          <t>0603WAF0000T5E</t>
        </is>
      </c>
      <c r="F36" s="35" t="inlineStr">
        <is>
          <t>C21189</t>
        </is>
      </c>
      <c r="G36" s="37" t="inlineStr">
        <is>
          <t>0603</t>
        </is>
      </c>
      <c r="H36" s="38" t="n"/>
      <c r="I36" s="38">
        <f>IF(H36="","",C36*H36)</f>
        <v/>
      </c>
    </row>
    <row r="37" ht="40" customHeight="1" s="25">
      <c r="A37" s="39" t="n">
        <v>30</v>
      </c>
      <c r="B37" s="40" t="inlineStr">
        <is>
          <t>R4, R16, R17, R22, R25</t>
        </is>
      </c>
      <c r="C37" s="39" t="n">
        <v>5</v>
      </c>
      <c r="D37" s="40" t="inlineStr">
        <is>
          <t>RES 4.7kΩ ±1% 100mW 0603</t>
        </is>
      </c>
      <c r="E37" s="41" t="inlineStr">
        <is>
          <t>0603WAF4701T5E</t>
        </is>
      </c>
      <c r="F37" s="39" t="inlineStr">
        <is>
          <t>C23162</t>
        </is>
      </c>
      <c r="G37" s="41" t="inlineStr">
        <is>
          <t>0603</t>
        </is>
      </c>
      <c r="H37" s="42" t="n"/>
      <c r="I37" s="42">
        <f>IF(H37="","",C37*H37)</f>
        <v/>
      </c>
    </row>
    <row r="38" ht="26" customHeight="1" s="25">
      <c r="A38" s="35" t="n">
        <v>31</v>
      </c>
      <c r="B38" s="36" t="inlineStr">
        <is>
          <t>R5, R23</t>
        </is>
      </c>
      <c r="C38" s="35" t="n">
        <v>2</v>
      </c>
      <c r="D38" s="36" t="inlineStr">
        <is>
          <t>RES 1kΩ ±1% 100mW 0603</t>
        </is>
      </c>
      <c r="E38" s="37" t="inlineStr">
        <is>
          <t>0603WAF1001T5E</t>
        </is>
      </c>
      <c r="F38" s="35" t="inlineStr">
        <is>
          <t>C21190</t>
        </is>
      </c>
      <c r="G38" s="37" t="inlineStr">
        <is>
          <t>0603</t>
        </is>
      </c>
      <c r="H38" s="38" t="n"/>
      <c r="I38" s="38">
        <f>IF(H38="","",C38*H38)</f>
        <v/>
      </c>
    </row>
    <row r="39" ht="26" customHeight="1" s="25">
      <c r="A39" s="39" t="n">
        <v>32</v>
      </c>
      <c r="B39" s="40" t="inlineStr">
        <is>
          <t>R6</t>
        </is>
      </c>
      <c r="C39" s="39" t="n">
        <v>1</v>
      </c>
      <c r="D39" s="40" t="inlineStr">
        <is>
          <t>RES 470Ω ±1% 100mW 0603</t>
        </is>
      </c>
      <c r="E39" s="41" t="inlineStr">
        <is>
          <t>0603WAF4700T5E</t>
        </is>
      </c>
      <c r="F39" s="39" t="inlineStr">
        <is>
          <t>C23179</t>
        </is>
      </c>
      <c r="G39" s="41" t="inlineStr">
        <is>
          <t>0603</t>
        </is>
      </c>
      <c r="H39" s="42" t="n"/>
      <c r="I39" s="42">
        <f>IF(H39="","",C39*H39)</f>
        <v/>
      </c>
    </row>
    <row r="40" ht="26" customHeight="1" s="25">
      <c r="A40" s="35" t="n">
        <v>33</v>
      </c>
      <c r="B40" s="36" t="inlineStr">
        <is>
          <t>R7</t>
        </is>
      </c>
      <c r="C40" s="35" t="n">
        <v>1</v>
      </c>
      <c r="D40" s="36" t="inlineStr">
        <is>
          <t>RES 220Ω ±1% 100mW 0603</t>
        </is>
      </c>
      <c r="E40" s="37" t="inlineStr">
        <is>
          <t>0603WAF2200T5E</t>
        </is>
      </c>
      <c r="F40" s="35" t="inlineStr">
        <is>
          <t>C22962</t>
        </is>
      </c>
      <c r="G40" s="37" t="inlineStr">
        <is>
          <t>0603</t>
        </is>
      </c>
      <c r="H40" s="38" t="n"/>
      <c r="I40" s="38">
        <f>IF(H40="","",C40*H40)</f>
        <v/>
      </c>
    </row>
    <row r="41" ht="26" customHeight="1" s="25">
      <c r="A41" s="39" t="n">
        <v>34</v>
      </c>
      <c r="B41" s="40" t="inlineStr">
        <is>
          <t>R8, R9</t>
        </is>
      </c>
      <c r="C41" s="39" t="n">
        <v>2</v>
      </c>
      <c r="D41" s="40" t="inlineStr">
        <is>
          <t>RES 47Ω ±1% 100mW 0603</t>
        </is>
      </c>
      <c r="E41" s="41" t="inlineStr">
        <is>
          <t>0603WAF470JT5E</t>
        </is>
      </c>
      <c r="F41" s="39" t="inlineStr">
        <is>
          <t>C23182</t>
        </is>
      </c>
      <c r="G41" s="41" t="inlineStr">
        <is>
          <t>0603</t>
        </is>
      </c>
      <c r="H41" s="42" t="n"/>
      <c r="I41" s="42">
        <f>IF(H41="","",C41*H41)</f>
        <v/>
      </c>
    </row>
    <row r="42" ht="26" customHeight="1" s="25">
      <c r="A42" s="35" t="n">
        <v>35</v>
      </c>
      <c r="B42" s="36" t="inlineStr">
        <is>
          <t>R10</t>
        </is>
      </c>
      <c r="C42" s="35" t="n">
        <v>1</v>
      </c>
      <c r="D42" s="36" t="inlineStr">
        <is>
          <t>RES 100kΩ ±1% 100mW 0603</t>
        </is>
      </c>
      <c r="E42" s="37" t="inlineStr">
        <is>
          <t>0603WAF1003T5E</t>
        </is>
      </c>
      <c r="F42" s="35" t="inlineStr">
        <is>
          <t>C25803</t>
        </is>
      </c>
      <c r="G42" s="37" t="inlineStr">
        <is>
          <t>0603</t>
        </is>
      </c>
      <c r="H42" s="38" t="n"/>
      <c r="I42" s="38">
        <f>IF(H42="","",C42*H42)</f>
        <v/>
      </c>
    </row>
    <row r="43" ht="26" customHeight="1" s="25">
      <c r="A43" s="39" t="n">
        <v>36</v>
      </c>
      <c r="B43" s="40" t="inlineStr">
        <is>
          <t>R11</t>
        </is>
      </c>
      <c r="C43" s="39" t="n">
        <v>1</v>
      </c>
      <c r="D43" s="40" t="inlineStr">
        <is>
          <t>RES 22kΩ ±1% 100mW 0603</t>
        </is>
      </c>
      <c r="E43" s="41" t="inlineStr">
        <is>
          <t>0603WAF2202T5E</t>
        </is>
      </c>
      <c r="F43" s="39" t="inlineStr">
        <is>
          <t>C31850</t>
        </is>
      </c>
      <c r="G43" s="41" t="inlineStr">
        <is>
          <t>0603</t>
        </is>
      </c>
      <c r="H43" s="42" t="n"/>
      <c r="I43" s="42">
        <f>IF(H43="","",C43*H43)</f>
        <v/>
      </c>
    </row>
    <row r="44" ht="26" customHeight="1" s="25">
      <c r="A44" s="35" t="n">
        <v>37</v>
      </c>
      <c r="B44" s="36" t="inlineStr">
        <is>
          <t>R24</t>
        </is>
      </c>
      <c r="C44" s="35" t="n">
        <v>1</v>
      </c>
      <c r="D44" s="36" t="inlineStr">
        <is>
          <t>TRIMMER 10K OHM 0.5W PC PIN TOP</t>
        </is>
      </c>
      <c r="E44" s="37" t="inlineStr">
        <is>
          <t>3362P-1-103LF</t>
        </is>
      </c>
      <c r="F44" s="35" t="inlineStr">
        <is>
          <t>C58159</t>
        </is>
      </c>
      <c r="G44" s="37" t="inlineStr">
        <is>
          <t>TH</t>
        </is>
      </c>
      <c r="H44" s="38" t="n"/>
      <c r="I44" s="38">
        <f>IF(H44="","",C44*H44)</f>
        <v/>
      </c>
    </row>
    <row r="45" ht="26" customHeight="1" s="25">
      <c r="A45" s="39" t="n">
        <v>38</v>
      </c>
      <c r="B45" s="40" t="inlineStr">
        <is>
          <t>R26</t>
        </is>
      </c>
      <c r="C45" s="39" t="n">
        <v>1</v>
      </c>
      <c r="D45" s="40" t="inlineStr">
        <is>
          <t>RES 12Ω ±1% 125mW 0805</t>
        </is>
      </c>
      <c r="E45" s="41" t="inlineStr">
        <is>
          <t>0805W8F120JT5E</t>
        </is>
      </c>
      <c r="F45" s="39" t="inlineStr">
        <is>
          <t>C17445</t>
        </is>
      </c>
      <c r="G45" s="41" t="inlineStr">
        <is>
          <t>0805</t>
        </is>
      </c>
      <c r="H45" s="42" t="n"/>
      <c r="I45" s="42">
        <f>IF(H45="","",C45*H45)</f>
        <v/>
      </c>
    </row>
    <row r="46" ht="26" customHeight="1" s="25">
      <c r="A46" s="35" t="n">
        <v>39</v>
      </c>
      <c r="B46" s="36" t="inlineStr">
        <is>
          <t>S1, S2, S3, S4</t>
        </is>
      </c>
      <c r="C46" s="35" t="n">
        <v>4</v>
      </c>
      <c r="D46" s="36" t="inlineStr">
        <is>
          <t>SWITCH TACTILE SPST SMD</t>
        </is>
      </c>
      <c r="E46" s="37" t="inlineStr">
        <is>
          <t>TS-1088-AR02016</t>
        </is>
      </c>
      <c r="F46" s="35" t="inlineStr">
        <is>
          <t>C720477</t>
        </is>
      </c>
      <c r="G46" s="37" t="inlineStr">
        <is>
          <t>SMD</t>
        </is>
      </c>
      <c r="H46" s="38" t="n"/>
      <c r="I46" s="38">
        <f>IF(H46="","",C46*H46)</f>
        <v/>
      </c>
    </row>
    <row r="47" ht="26" customHeight="1" s="25">
      <c r="A47" s="39" t="n">
        <v>40</v>
      </c>
      <c r="B47" s="40" t="inlineStr">
        <is>
          <t>U1</t>
        </is>
      </c>
      <c r="C47" s="39" t="n">
        <v>1</v>
      </c>
      <c r="D47" s="40" t="inlineStr">
        <is>
          <t>IC REG BUCK 5V 2A 3.8V-32V TSOT-23-6</t>
        </is>
      </c>
      <c r="E47" s="41" t="inlineStr">
        <is>
          <t>AP63205WU-7</t>
        </is>
      </c>
      <c r="F47" s="39" t="inlineStr">
        <is>
          <t>C2071056</t>
        </is>
      </c>
      <c r="G47" s="41" t="inlineStr">
        <is>
          <t>TSOT-23-6</t>
        </is>
      </c>
      <c r="H47" s="42" t="n"/>
      <c r="I47" s="42">
        <f>IF(H47="","",C47*H47)</f>
        <v/>
      </c>
    </row>
    <row r="48" ht="26" customHeight="1" s="25">
      <c r="A48" s="35" t="n">
        <v>41</v>
      </c>
      <c r="B48" s="36" t="inlineStr">
        <is>
          <t>U2</t>
        </is>
      </c>
      <c r="C48" s="35" t="n">
        <v>1</v>
      </c>
      <c r="D48" s="36" t="inlineStr">
        <is>
          <t>IC MCU 32BIT 128KB FLASH 48LQFP</t>
        </is>
      </c>
      <c r="E48" s="37" t="inlineStr">
        <is>
          <t>STM32F072CBT6</t>
        </is>
      </c>
      <c r="F48" s="35" t="inlineStr">
        <is>
          <t>C81720</t>
        </is>
      </c>
      <c r="G48" s="37" t="inlineStr">
        <is>
          <t>LQFP-48</t>
        </is>
      </c>
      <c r="H48" s="38" t="n"/>
      <c r="I48" s="38">
        <f>IF(H48="","",C48*H48)</f>
        <v/>
      </c>
    </row>
    <row r="49" ht="26" customHeight="1" s="25">
      <c r="A49" s="39" t="n">
        <v>42</v>
      </c>
      <c r="B49" s="40" t="inlineStr">
        <is>
          <t>U3</t>
        </is>
      </c>
      <c r="C49" s="39" t="n">
        <v>1</v>
      </c>
      <c r="D49" s="40" t="inlineStr">
        <is>
          <t>IC REG LDO 3.3V 1A 2.5V-6V SOT-223</t>
        </is>
      </c>
      <c r="E49" s="41" t="inlineStr">
        <is>
          <t>AP2114H-3.3TRG1</t>
        </is>
      </c>
      <c r="F49" s="39" t="inlineStr">
        <is>
          <t>C150716</t>
        </is>
      </c>
      <c r="G49" s="41" t="inlineStr">
        <is>
          <t>SOT-223</t>
        </is>
      </c>
      <c r="H49" s="42" t="n"/>
      <c r="I49" s="42">
        <f>IF(H49="","",C49*H49)</f>
        <v/>
      </c>
    </row>
    <row r="50" ht="26" customHeight="1" s="25">
      <c r="A50" s="35" t="n">
        <v>43</v>
      </c>
      <c r="B50" s="36" t="inlineStr">
        <is>
          <t>U4</t>
        </is>
      </c>
      <c r="C50" s="35" t="n">
        <v>1</v>
      </c>
      <c r="D50" s="36" t="inlineStr">
        <is>
          <t>TVS DIODE 5.25VWM 17VC SOT23-6</t>
        </is>
      </c>
      <c r="E50" s="37" t="inlineStr">
        <is>
          <t>USBLC6-2SC6</t>
        </is>
      </c>
      <c r="F50" s="35" t="inlineStr">
        <is>
          <t>C7519</t>
        </is>
      </c>
      <c r="G50" s="37" t="inlineStr">
        <is>
          <t>SOT-23-6</t>
        </is>
      </c>
      <c r="H50" s="38" t="n"/>
      <c r="I50" s="38">
        <f>IF(H50="","",C50*H50)</f>
        <v/>
      </c>
    </row>
    <row r="51" ht="26" customHeight="1" s="25">
      <c r="A51" s="39" t="n">
        <v>44</v>
      </c>
      <c r="B51" s="40" t="inlineStr">
        <is>
          <t>U5</t>
        </is>
      </c>
      <c r="C51" s="39" t="n">
        <v>1</v>
      </c>
      <c r="D51" s="40" t="inlineStr">
        <is>
          <t>IC FLASH 32MBIT SPI/QUAD 8SOIC</t>
        </is>
      </c>
      <c r="E51" s="41" t="inlineStr">
        <is>
          <t>W25Q32JVSNIQ</t>
        </is>
      </c>
      <c r="F51" s="39" t="inlineStr">
        <is>
          <t>C5355146</t>
        </is>
      </c>
      <c r="G51" s="41" t="inlineStr">
        <is>
          <t>SOIC-8</t>
        </is>
      </c>
      <c r="H51" s="42" t="n"/>
      <c r="I51" s="42">
        <f>IF(H51="","",C51*H51)</f>
        <v/>
      </c>
    </row>
    <row r="52" ht="26" customHeight="1" s="25">
      <c r="A52" s="35" t="n">
        <v>45</v>
      </c>
      <c r="B52" s="36" t="inlineStr">
        <is>
          <t>U6</t>
        </is>
      </c>
      <c r="C52" s="35" t="n">
        <v>1</v>
      </c>
      <c r="D52" s="36" t="inlineStr">
        <is>
          <t>SENSOR DIGITAL -55C-125C 8SO</t>
        </is>
      </c>
      <c r="E52" s="37" t="inlineStr">
        <is>
          <t>LM75BD,118</t>
        </is>
      </c>
      <c r="F52" s="35" t="inlineStr">
        <is>
          <t>C34565</t>
        </is>
      </c>
      <c r="G52" s="37" t="inlineStr">
        <is>
          <t>SOIC-8</t>
        </is>
      </c>
      <c r="H52" s="38" t="n"/>
      <c r="I52" s="38">
        <f>IF(H52="","",C52*H52)</f>
        <v/>
      </c>
    </row>
    <row r="53" ht="26" customHeight="1" s="25">
      <c r="A53" s="39" t="n">
        <v>46</v>
      </c>
      <c r="B53" s="40" t="inlineStr">
        <is>
          <t>U7</t>
        </is>
      </c>
      <c r="C53" s="39" t="n">
        <v>1</v>
      </c>
      <c r="D53" s="40" t="inlineStr">
        <is>
          <t>ESP8266 WI-FI IOT MODULE</t>
        </is>
      </c>
      <c r="E53" s="41" t="inlineStr">
        <is>
          <t>ESP-01</t>
        </is>
      </c>
      <c r="F53" s="39" t="inlineStr">
        <is>
          <t>C503581</t>
        </is>
      </c>
      <c r="G53" s="41" t="inlineStr">
        <is>
          <t>MOD</t>
        </is>
      </c>
      <c r="H53" s="42" t="n"/>
      <c r="I53" s="42">
        <f>IF(H53="","",C53*H53)</f>
        <v/>
      </c>
    </row>
    <row r="54" ht="26" customHeight="1" s="25">
      <c r="A54" s="35" t="n">
        <v>47</v>
      </c>
      <c r="B54" s="36" t="inlineStr">
        <is>
          <t>U8</t>
        </is>
      </c>
      <c r="C54" s="35" t="n">
        <v>1</v>
      </c>
      <c r="D54" s="36" t="inlineStr">
        <is>
          <t>LCD CHARACTER DISPLAY MODULE 16x2</t>
        </is>
      </c>
      <c r="E54" s="37" t="inlineStr">
        <is>
          <t>WC1602A</t>
        </is>
      </c>
      <c r="F54" s="35" t="inlineStr">
        <is>
          <t>C5329588</t>
        </is>
      </c>
      <c r="G54" s="37" t="inlineStr">
        <is>
          <t>MOD</t>
        </is>
      </c>
      <c r="H54" s="38" t="n"/>
      <c r="I54" s="38">
        <f>IF(H54="","",C54*H54)</f>
        <v/>
      </c>
    </row>
    <row r="55" ht="26" customHeight="1" s="25">
      <c r="A55" s="39" t="n">
        <v>48</v>
      </c>
      <c r="B55" s="40" t="inlineStr">
        <is>
          <t>U9</t>
        </is>
      </c>
      <c r="C55" s="39" t="n">
        <v>1</v>
      </c>
      <c r="D55" s="40" t="inlineStr">
        <is>
          <t>IC EXPANDER 100KHZ I2C 16SO</t>
        </is>
      </c>
      <c r="E55" s="41" t="inlineStr">
        <is>
          <t>PCF8574T</t>
        </is>
      </c>
      <c r="F55" s="39" t="inlineStr">
        <is>
          <t>C7605</t>
        </is>
      </c>
      <c r="G55" s="41" t="inlineStr">
        <is>
          <t>SOIC-16W</t>
        </is>
      </c>
      <c r="H55" s="42" t="n"/>
      <c r="I55" s="42">
        <f>IF(H55="","",C55*H55)</f>
        <v/>
      </c>
    </row>
    <row r="56" ht="26" customHeight="1" s="25">
      <c r="A56" s="35" t="n">
        <v>49</v>
      </c>
      <c r="B56" s="36" t="inlineStr">
        <is>
          <t>Y1</t>
        </is>
      </c>
      <c r="C56" s="35" t="n">
        <v>1</v>
      </c>
      <c r="D56" s="36" t="inlineStr">
        <is>
          <t>CRYSTAL 32.7680KHZ 12.5PF SMD</t>
        </is>
      </c>
      <c r="E56" s="37" t="inlineStr">
        <is>
          <t>Q13FC1350000400</t>
        </is>
      </c>
      <c r="F56" s="35" t="inlineStr">
        <is>
          <t>C32346</t>
        </is>
      </c>
      <c r="G56" s="37" t="inlineStr">
        <is>
          <t>SMD-3215</t>
        </is>
      </c>
      <c r="H56" s="38" t="n"/>
      <c r="I56" s="38">
        <f>IF(H56="","",C56*H56)</f>
        <v/>
      </c>
    </row>
    <row r="57" ht="21.75" customHeight="1" s="25">
      <c r="A57" s="43" t="n"/>
      <c r="B57" s="44" t="inlineStr">
        <is>
          <t>TOTAL</t>
        </is>
      </c>
      <c r="C57" s="43">
        <f>SUM(C8:C56)</f>
        <v/>
      </c>
      <c r="D57" s="44" t="n"/>
      <c r="E57" s="44" t="n"/>
      <c r="F57" s="43" t="n"/>
      <c r="G57" s="44" t="n"/>
      <c r="H57" s="45" t="n"/>
      <c r="I57" s="45">
        <f>SUM(I8:I56)</f>
        <v/>
      </c>
    </row>
    <row r="59">
      <c r="A59" s="47" t="inlineStr">
        <is>
          <t>Red text = DNP (Do Not Populate). Parts excluded from the BOM in KiCad are not listed.</t>
        </is>
      </c>
    </row>
  </sheetData>
  <mergeCells count="8">
    <mergeCell ref="A4:B4"/>
    <mergeCell ref="F4:I4"/>
    <mergeCell ref="E2:I2"/>
    <mergeCell ref="A5:B5"/>
    <mergeCell ref="E1:I1"/>
    <mergeCell ref="C5:D5"/>
    <mergeCell ref="F5:I5"/>
    <mergeCell ref="C4:D4"/>
  </mergeCells>
  <printOptions horizontalCentered="1" verticalCentered="0" headings="0" gridLines="0" gridLinesSet="1"/>
  <pageMargins left="0.4" right="0.4" top="0.4" bottom="0.4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2026-10-08T13:24:53Z</dcterms:created>
  <dcterms:modified xmlns:dcterms="http://purl.org/dc/terms/" xmlns:xsi="http://www.w3.org/2001/XMLSchema-instance" xsi:type="dcterms:W3CDTF">2026-10-10T09:25:19Z</dcterms:modified>
  <cp:revision>1</cp:revision>
</cp:coreProperties>
</file>